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3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Library/CloudStorage/GoogleDrive-varuna@mapup.ai/Shared drives/common/Hiring-Common/December-2023/Dzone-Hiring/"/>
    </mc:Choice>
  </mc:AlternateContent>
  <xr:revisionPtr revIDLastSave="87" documentId="13_ncr:1_{48EB4397-F178-E54E-B28D-22A41FCA72D2}" xr6:coauthVersionLast="47" xr6:coauthVersionMax="47" xr10:uidLastSave="{0602009D-654A-4E7A-863B-96B2FFFBC211}"/>
  <bookViews>
    <workbookView xWindow="0" yWindow="500" windowWidth="29400" windowHeight="16300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16" l="1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C22" i="19"/>
  <c r="D12" i="19"/>
  <c r="D13" i="19"/>
  <c r="D14" i="19"/>
  <c r="D15" i="19"/>
  <c r="D16" i="19"/>
  <c r="D17" i="19"/>
  <c r="D18" i="19"/>
  <c r="D19" i="19"/>
  <c r="D20" i="19"/>
  <c r="D21" i="19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23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7" i="18"/>
  <c r="B8" i="18"/>
  <c r="H41" i="1"/>
</calcChain>
</file>

<file path=xl/sharedStrings.xml><?xml version="1.0" encoding="utf-8"?>
<sst xmlns="http://schemas.openxmlformats.org/spreadsheetml/2006/main" count="328" uniqueCount="183">
  <si>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</si>
  <si>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</si>
  <si>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</si>
  <si>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</si>
  <si>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</si>
  <si>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</si>
  <si>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</si>
  <si>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</si>
  <si>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</si>
  <si>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</si>
  <si>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</si>
  <si>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</si>
  <si>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</si>
  <si>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</si>
  <si>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</si>
  <si>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</si>
  <si>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</si>
  <si>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</si>
  <si>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</si>
  <si>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</si>
  <si>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</si>
  <si>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</si>
  <si>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</si>
  <si>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</si>
  <si>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</si>
  <si>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</si>
  <si>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</si>
  <si>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</si>
  <si>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</si>
  <si>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</si>
  <si>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</si>
  <si>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</si>
  <si>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</si>
  <si>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</si>
  <si>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</si>
  <si>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</si>
  <si>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</si>
  <si>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</si>
  <si>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</si>
  <si>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</si>
  <si>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</si>
  <si>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</si>
  <si>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</si>
  <si>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</si>
  <si>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</si>
  <si>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</si>
  <si>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</si>
  <si>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</si>
  <si>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</si>
  <si>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</si>
  <si>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</si>
  <si>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</si>
  <si>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</si>
  <si>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</si>
  <si>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</si>
  <si>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</si>
  <si>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</si>
  <si>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</si>
  <si>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</si>
  <si>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</si>
  <si>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</si>
  <si>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</si>
  <si>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</si>
  <si>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</si>
  <si>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</si>
  <si>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</si>
  <si>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</si>
  <si>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</si>
  <si>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</si>
  <si>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</si>
  <si>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</si>
  <si>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</si>
  <si>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</si>
  <si>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</si>
  <si>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</si>
  <si>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</si>
  <si>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</si>
  <si>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</si>
  <si>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</si>
  <si>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</si>
  <si>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</si>
  <si>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</si>
  <si>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</si>
  <si>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</si>
  <si>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</si>
  <si>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</si>
  <si>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</si>
  <si>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</si>
  <si>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Please paste formula used here</t>
  </si>
  <si>
    <t>SUMIF(H2:H40,"&gt;20")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</si>
  <si>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</si>
  <si>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</si>
  <si>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</si>
  <si>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</si>
  <si>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=if(A6=Dataset!A2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</si>
  <si>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</si>
  <si>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</si>
  <si>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</si>
  <si>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</si>
  <si>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</si>
  <si>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</si>
  <si>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Explanation: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</si>
  <si>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</si>
  <si>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</si>
  <si>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</si>
  <si>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</si>
  <si>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</si>
  <si>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</si>
  <si>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</si>
  <si>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</si>
  <si>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</si>
  <si>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</si>
  <si>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</si>
  <si>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</si>
  <si>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</si>
  <si>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</si>
  <si>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</si>
  <si>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</si>
  <si>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</si>
  <si>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</si>
  <si>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</si>
  <si>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</si>
  <si>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</si>
  <si>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</si>
  <si>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</si>
  <si>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</si>
  <si>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</si>
  <si>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</si>
  <si>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</si>
  <si>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</si>
  <si>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</si>
  <si>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</si>
  <si>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</si>
  <si>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</si>
  <si>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</si>
  <si>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</si>
  <si>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</si>
  <si>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</si>
  <si>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</si>
  <si>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</si>
  <si>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</si>
  <si>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</si>
  <si>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</si>
  <si>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</si>
  <si>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</si>
  <si>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</si>
  <si>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</si>
  <si>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</si>
  <si>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</si>
  <si>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</si>
  <si>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</si>
  <si>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r>
      <t>IFNA(</t>
    </r>
    <r>
      <rPr>
        <sz val="10"/>
        <color rgb="FF5F8CED"/>
        <rFont val="Consolas"/>
        <charset val="1"/>
      </rPr>
      <t>C12</t>
    </r>
    <r>
      <rPr>
        <sz val="10"/>
        <color rgb="FF000000"/>
        <rFont val="Consolas"/>
        <charset val="1"/>
      </rPr>
      <t>,20)</t>
    </r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</si>
  <si>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</si>
  <si>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</si>
  <si>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</si>
  <si>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</si>
  <si>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</si>
  <si>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</si>
  <si>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</si>
  <si>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</si>
  <si>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</si>
  <si>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</si>
  <si>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</si>
  <si>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</si>
  <si>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</si>
  <si>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</si>
  <si>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</si>
  <si>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</si>
  <si>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</si>
  <si>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</si>
  <si>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</si>
  <si>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</si>
  <si>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</si>
  <si>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</si>
  <si>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</si>
  <si>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</si>
  <si>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</si>
  <si>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</si>
  <si>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</si>
  <si>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</si>
  <si>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</si>
  <si>
    <t>id_name_1</t>
  </si>
  <si>
    <t>id_name_2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</si>
</sst>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454545"/>
      <name val="Courier New"/>
      <charset val="1"/>
    </font>
    <font>
      <sz val="10"/>
      <color rgb="FF5F8CED"/>
      <name val="Consolas"/>
      <charset val="1"/>
    </font>
    <font>
      <sz val="10"/>
      <color rgb="FF000000"/>
      <name val="Consolas"/>
      <charset val="1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5" fontId="3" fillId="0" borderId="0" xfId="0" applyNumberFormat="1" applyFont="1"/>
    <xf numFmtId="0" fontId="18" fillId="0" borderId="0" xfId="0" applyFont="1"/>
    <xf numFmtId="0" fontId="20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4.1"/>
  <cols>
    <col min="1" max="1" width="70.83203125" style="2" bestFit="1" customWidth="1"/>
    <col min="2" max="16384" width="11" style="2"/>
  </cols>
  <sheetData>
    <row r="1" spans="1:3" ht="18.95">
      <c r="A1" s="38" t="s">
        <v>0</v>
      </c>
    </row>
    <row r="2" spans="1:3">
      <c r="A2" s="2" t="s">
        <v>1</v>
      </c>
    </row>
    <row r="3" spans="1:3">
      <c r="A3" s="2" t="s">
        <v>2</v>
      </c>
    </row>
    <row r="4" spans="1:3" ht="15">
      <c r="A4" s="2" t="s">
        <v>3</v>
      </c>
      <c r="C4" s="1"/>
    </row>
    <row r="5" spans="1:3">
      <c r="A5" s="2" t="s">
        <v>4</v>
      </c>
    </row>
    <row r="8" spans="1:3">
      <c r="A8" s="2" t="s">
        <v>5</v>
      </c>
    </row>
    <row r="9" spans="1:3">
      <c r="A9" s="35" t="s">
        <v>6</v>
      </c>
      <c r="B9" s="25" t="s">
        <v>7</v>
      </c>
    </row>
    <row r="10" spans="1:3">
      <c r="A10" s="34" t="s">
        <v>8</v>
      </c>
      <c r="B10" s="36">
        <v>25</v>
      </c>
    </row>
    <row r="11" spans="1:3">
      <c r="A11" s="34" t="s">
        <v>9</v>
      </c>
      <c r="B11" s="36">
        <v>30</v>
      </c>
    </row>
    <row r="12" spans="1:3">
      <c r="A12" s="34" t="s">
        <v>10</v>
      </c>
      <c r="B12" s="36">
        <v>10</v>
      </c>
    </row>
    <row r="13" spans="1:3">
      <c r="A13" s="34" t="s">
        <v>11</v>
      </c>
      <c r="B13" s="36">
        <v>20</v>
      </c>
    </row>
    <row r="14" spans="1:3">
      <c r="A14" s="34" t="s">
        <v>12</v>
      </c>
      <c r="B14" s="36">
        <v>40</v>
      </c>
    </row>
    <row r="15" spans="1:3">
      <c r="A15" s="37" t="s">
        <v>13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" activePane="bottomLeft" state="frozen"/>
      <selection pane="bottomLeft" activeCell="Y10" sqref="Y10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3" style="1" bestFit="1" customWidth="1"/>
    <col min="25" max="16384" width="9" style="1"/>
  </cols>
  <sheetData>
    <row r="1" spans="1:24" s="3" customFormat="1" ht="14.85" customHeight="1">
      <c r="A1" s="26" t="s">
        <v>14</v>
      </c>
      <c r="B1" s="26" t="s">
        <v>15</v>
      </c>
      <c r="C1" s="26" t="s">
        <v>16</v>
      </c>
      <c r="D1" s="27" t="s">
        <v>17</v>
      </c>
      <c r="E1" s="26" t="s">
        <v>18</v>
      </c>
      <c r="F1" s="27" t="s">
        <v>19</v>
      </c>
      <c r="G1" s="28" t="s">
        <v>20</v>
      </c>
      <c r="H1" s="28" t="s">
        <v>21</v>
      </c>
      <c r="I1" s="28" t="s">
        <v>22</v>
      </c>
      <c r="J1" s="29" t="s">
        <v>23</v>
      </c>
      <c r="K1" s="29" t="s">
        <v>24</v>
      </c>
      <c r="L1" s="29" t="s">
        <v>25</v>
      </c>
      <c r="M1" s="28" t="s">
        <v>26</v>
      </c>
      <c r="N1" s="28" t="s">
        <v>27</v>
      </c>
      <c r="O1" s="28" t="s">
        <v>28</v>
      </c>
      <c r="P1" s="29" t="s">
        <v>29</v>
      </c>
      <c r="Q1" s="29" t="s">
        <v>30</v>
      </c>
      <c r="R1" s="29" t="s">
        <v>31</v>
      </c>
      <c r="S1" s="28" t="s">
        <v>32</v>
      </c>
      <c r="T1" s="28" t="s">
        <v>33</v>
      </c>
      <c r="U1" s="29" t="s">
        <v>34</v>
      </c>
      <c r="V1" s="29" t="s">
        <v>35</v>
      </c>
      <c r="W1" s="29" t="s">
        <v>36</v>
      </c>
      <c r="X1" s="3" t="s">
        <v>37</v>
      </c>
    </row>
    <row r="2" spans="1:24">
      <c r="A2" s="1" t="s">
        <v>38</v>
      </c>
      <c r="B2" s="1">
        <v>20000</v>
      </c>
      <c r="C2" s="1" t="s">
        <v>39</v>
      </c>
      <c r="D2" s="23">
        <v>0</v>
      </c>
      <c r="E2" s="1" t="s">
        <v>40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>
      <c r="A3" s="1" t="s">
        <v>41</v>
      </c>
      <c r="B3" s="1">
        <v>20002</v>
      </c>
      <c r="C3" s="1" t="s">
        <v>39</v>
      </c>
      <c r="D3" s="23">
        <v>0</v>
      </c>
      <c r="E3" s="1" t="s">
        <v>40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>
      <c r="A4" s="1" t="s">
        <v>42</v>
      </c>
      <c r="B4" s="1">
        <v>20004</v>
      </c>
      <c r="C4" s="1" t="s">
        <v>39</v>
      </c>
      <c r="D4" s="23">
        <v>0</v>
      </c>
      <c r="E4" s="1" t="s">
        <v>40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>
      <c r="A5" s="1" t="s">
        <v>43</v>
      </c>
      <c r="B5" s="1">
        <v>20006</v>
      </c>
      <c r="C5" s="1" t="s">
        <v>39</v>
      </c>
      <c r="D5" s="23">
        <v>0</v>
      </c>
      <c r="E5" s="1" t="s">
        <v>40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>
      <c r="A6" s="1" t="s">
        <v>44</v>
      </c>
      <c r="B6" s="1">
        <v>20008</v>
      </c>
      <c r="C6" s="1" t="s">
        <v>39</v>
      </c>
      <c r="D6" s="23">
        <v>0</v>
      </c>
      <c r="E6" s="1" t="s">
        <v>40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>
      <c r="A7" s="1" t="s">
        <v>45</v>
      </c>
      <c r="B7" s="1">
        <v>20010</v>
      </c>
      <c r="C7" s="1" t="s">
        <v>39</v>
      </c>
      <c r="D7" s="23">
        <v>0</v>
      </c>
      <c r="E7" s="1" t="s">
        <v>40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>
      <c r="A8" s="1" t="s">
        <v>46</v>
      </c>
      <c r="B8" s="1">
        <v>20012</v>
      </c>
      <c r="C8" s="1" t="s">
        <v>39</v>
      </c>
      <c r="D8" s="23">
        <v>0</v>
      </c>
      <c r="E8" s="1" t="s">
        <v>40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>
      <c r="A9" s="1" t="s">
        <v>47</v>
      </c>
      <c r="B9" s="1">
        <v>20014</v>
      </c>
      <c r="C9" s="1" t="s">
        <v>39</v>
      </c>
      <c r="D9" s="23">
        <v>0</v>
      </c>
      <c r="E9" s="1" t="s">
        <v>40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>
      <c r="A10" s="1" t="s">
        <v>48</v>
      </c>
      <c r="B10" s="1">
        <v>20016</v>
      </c>
      <c r="C10" s="1" t="s">
        <v>39</v>
      </c>
      <c r="D10" s="23">
        <v>0</v>
      </c>
      <c r="E10" s="1" t="s">
        <v>40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>
      <c r="A11" s="1" t="s">
        <v>49</v>
      </c>
      <c r="B11" s="1">
        <v>20018</v>
      </c>
      <c r="C11" s="1" t="s">
        <v>39</v>
      </c>
      <c r="D11" s="23">
        <v>0</v>
      </c>
      <c r="E11" s="1" t="s">
        <v>40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>
      <c r="A12" s="1" t="s">
        <v>50</v>
      </c>
      <c r="B12" s="1">
        <v>20020</v>
      </c>
      <c r="C12" s="1" t="s">
        <v>39</v>
      </c>
      <c r="D12" s="23">
        <v>0</v>
      </c>
      <c r="E12" s="1" t="s">
        <v>40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>
      <c r="A13" s="1" t="s">
        <v>51</v>
      </c>
      <c r="B13" s="1">
        <v>20022</v>
      </c>
      <c r="C13" s="1" t="s">
        <v>39</v>
      </c>
      <c r="D13" s="23">
        <v>0</v>
      </c>
      <c r="E13" s="1" t="s">
        <v>40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>
      <c r="A14" s="1" t="s">
        <v>52</v>
      </c>
      <c r="B14" s="1">
        <v>20024</v>
      </c>
      <c r="C14" s="1" t="s">
        <v>39</v>
      </c>
      <c r="D14" s="23">
        <v>0</v>
      </c>
      <c r="E14" s="1" t="s">
        <v>40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>
      <c r="A15" s="1" t="s">
        <v>53</v>
      </c>
      <c r="B15" s="1">
        <v>20026</v>
      </c>
      <c r="C15" s="1" t="s">
        <v>39</v>
      </c>
      <c r="D15" s="23">
        <v>0</v>
      </c>
      <c r="E15" s="1" t="s">
        <v>40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>
      <c r="A16" s="1" t="s">
        <v>54</v>
      </c>
      <c r="B16" s="1">
        <v>20028</v>
      </c>
      <c r="C16" s="1" t="s">
        <v>39</v>
      </c>
      <c r="D16" s="23">
        <v>0</v>
      </c>
      <c r="E16" s="1" t="s">
        <v>40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>
      <c r="A17" s="1" t="s">
        <v>55</v>
      </c>
      <c r="B17" s="1">
        <v>20030</v>
      </c>
      <c r="C17" s="1" t="s">
        <v>39</v>
      </c>
      <c r="D17" s="23">
        <v>0</v>
      </c>
      <c r="E17" s="1" t="s">
        <v>40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>
      <c r="A18" s="1" t="s">
        <v>56</v>
      </c>
      <c r="B18" s="1">
        <v>20032</v>
      </c>
      <c r="C18" s="1" t="s">
        <v>39</v>
      </c>
      <c r="D18" s="23">
        <v>0</v>
      </c>
      <c r="E18" s="1" t="s">
        <v>40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>
      <c r="A19" s="1" t="s">
        <v>57</v>
      </c>
      <c r="B19" s="1">
        <v>20034</v>
      </c>
      <c r="C19" s="1" t="s">
        <v>39</v>
      </c>
      <c r="D19" s="23">
        <v>0</v>
      </c>
      <c r="E19" s="1" t="s">
        <v>40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>
      <c r="A20" s="1" t="s">
        <v>58</v>
      </c>
      <c r="B20" s="1">
        <v>20036</v>
      </c>
      <c r="C20" s="1" t="s">
        <v>39</v>
      </c>
      <c r="D20" s="23">
        <v>0</v>
      </c>
      <c r="E20" s="1" t="s">
        <v>40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>
      <c r="A21" s="1" t="s">
        <v>59</v>
      </c>
      <c r="B21" s="1">
        <v>20038</v>
      </c>
      <c r="C21" s="1" t="s">
        <v>39</v>
      </c>
      <c r="D21" s="23">
        <v>0</v>
      </c>
      <c r="E21" s="1" t="s">
        <v>40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>
      <c r="A22" s="1" t="s">
        <v>60</v>
      </c>
      <c r="B22" s="1">
        <v>20040</v>
      </c>
      <c r="C22" s="1" t="s">
        <v>39</v>
      </c>
      <c r="D22" s="23">
        <v>0</v>
      </c>
      <c r="E22" s="1" t="s">
        <v>40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>
      <c r="A23" s="1" t="s">
        <v>61</v>
      </c>
      <c r="B23" s="1">
        <v>20042</v>
      </c>
      <c r="C23" s="1" t="s">
        <v>39</v>
      </c>
      <c r="D23" s="23">
        <v>0</v>
      </c>
      <c r="E23" s="1" t="s">
        <v>40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>
      <c r="A24" s="1" t="s">
        <v>62</v>
      </c>
      <c r="B24" s="1">
        <v>20044</v>
      </c>
      <c r="C24" s="1" t="s">
        <v>39</v>
      </c>
      <c r="D24" s="23">
        <v>0</v>
      </c>
      <c r="E24" s="1" t="s">
        <v>40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>
      <c r="A25" s="1" t="s">
        <v>63</v>
      </c>
      <c r="B25" s="1">
        <v>20046</v>
      </c>
      <c r="C25" s="1" t="s">
        <v>39</v>
      </c>
      <c r="D25" s="23">
        <v>0</v>
      </c>
      <c r="E25" s="1" t="s">
        <v>40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>
      <c r="A26" s="1" t="s">
        <v>64</v>
      </c>
      <c r="B26" s="1">
        <v>20048</v>
      </c>
      <c r="C26" s="1" t="s">
        <v>39</v>
      </c>
      <c r="D26" s="23">
        <v>0</v>
      </c>
      <c r="E26" s="1" t="s">
        <v>40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>
      <c r="A27" s="1" t="s">
        <v>65</v>
      </c>
      <c r="B27" s="1">
        <v>20050</v>
      </c>
      <c r="C27" s="1" t="s">
        <v>39</v>
      </c>
      <c r="D27" s="23">
        <v>0</v>
      </c>
      <c r="E27" s="1" t="s">
        <v>40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>
      <c r="A28" s="1" t="s">
        <v>66</v>
      </c>
      <c r="B28" s="1">
        <v>20052</v>
      </c>
      <c r="C28" s="1" t="s">
        <v>39</v>
      </c>
      <c r="D28" s="23">
        <v>0</v>
      </c>
      <c r="E28" s="1" t="s">
        <v>40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>
      <c r="A29" s="1" t="s">
        <v>67</v>
      </c>
      <c r="B29" s="1">
        <v>20054</v>
      </c>
      <c r="C29" s="1" t="s">
        <v>39</v>
      </c>
      <c r="D29" s="23">
        <v>0</v>
      </c>
      <c r="E29" s="1" t="s">
        <v>40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>
      <c r="A30" s="1" t="s">
        <v>68</v>
      </c>
      <c r="B30" s="1">
        <v>20058</v>
      </c>
      <c r="C30" s="1" t="s">
        <v>39</v>
      </c>
      <c r="D30" s="23">
        <v>0</v>
      </c>
      <c r="E30" s="1" t="s">
        <v>40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>
      <c r="A31" s="1" t="s">
        <v>69</v>
      </c>
      <c r="B31" s="1">
        <v>20060</v>
      </c>
      <c r="C31" s="1" t="s">
        <v>39</v>
      </c>
      <c r="D31" s="23">
        <v>0</v>
      </c>
      <c r="E31" s="1" t="s">
        <v>40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>
      <c r="A32" s="1" t="s">
        <v>70</v>
      </c>
      <c r="B32" s="1">
        <v>21000</v>
      </c>
      <c r="C32" s="1" t="s">
        <v>39</v>
      </c>
      <c r="D32" s="23">
        <v>0</v>
      </c>
      <c r="E32" s="1" t="s">
        <v>40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>
      <c r="A33" s="1" t="s">
        <v>71</v>
      </c>
      <c r="B33" s="1">
        <v>21002</v>
      </c>
      <c r="C33" s="1" t="s">
        <v>39</v>
      </c>
      <c r="D33" s="23">
        <v>0</v>
      </c>
      <c r="E33" s="1" t="s">
        <v>40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>
      <c r="A34" s="1" t="s">
        <v>72</v>
      </c>
      <c r="B34" s="1">
        <v>21004</v>
      </c>
      <c r="C34" s="1" t="s">
        <v>39</v>
      </c>
      <c r="D34" s="23">
        <v>0</v>
      </c>
      <c r="E34" s="1" t="s">
        <v>40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>
      <c r="A35" s="1" t="s">
        <v>73</v>
      </c>
      <c r="B35" s="1">
        <v>21006</v>
      </c>
      <c r="C35" s="1" t="s">
        <v>39</v>
      </c>
      <c r="D35" s="23">
        <v>0</v>
      </c>
      <c r="E35" s="1" t="s">
        <v>40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>
      <c r="A36" s="1" t="s">
        <v>74</v>
      </c>
      <c r="B36" s="1">
        <v>21008</v>
      </c>
      <c r="C36" s="1" t="s">
        <v>39</v>
      </c>
      <c r="D36" s="23">
        <v>0</v>
      </c>
      <c r="E36" s="1" t="s">
        <v>40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>
      <c r="A37" s="1" t="s">
        <v>75</v>
      </c>
      <c r="B37" s="1">
        <v>21010</v>
      </c>
      <c r="C37" s="1" t="s">
        <v>39</v>
      </c>
      <c r="D37" s="23">
        <v>0</v>
      </c>
      <c r="E37" s="1" t="s">
        <v>40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>
      <c r="A38" s="1" t="s">
        <v>76</v>
      </c>
      <c r="B38" s="1">
        <v>21012</v>
      </c>
      <c r="C38" s="1" t="s">
        <v>39</v>
      </c>
      <c r="D38" s="23">
        <v>0</v>
      </c>
      <c r="E38" s="1" t="s">
        <v>40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>
      <c r="A39" s="1" t="s">
        <v>77</v>
      </c>
      <c r="B39" s="1">
        <v>21014</v>
      </c>
      <c r="C39" s="1" t="s">
        <v>39</v>
      </c>
      <c r="D39" s="23">
        <v>0</v>
      </c>
      <c r="E39" s="1" t="s">
        <v>40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>
      <c r="A40" s="1" t="s">
        <v>78</v>
      </c>
      <c r="B40" s="1">
        <v>21016</v>
      </c>
      <c r="C40" s="1" t="s">
        <v>39</v>
      </c>
      <c r="D40" s="23">
        <v>0</v>
      </c>
      <c r="E40" s="1" t="s">
        <v>40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  <row r="41" spans="1:24">
      <c r="H41" s="1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X40">
    <cfRule type="cellIs" dxfId="1" priority="2" operator="equal">
      <formula>0</formula>
    </cfRule>
  </conditionalFormatting>
  <conditionalFormatting sqref="G1:X40"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8" sqref="D8"/>
    </sheetView>
  </sheetViews>
  <sheetFormatPr defaultColWidth="11" defaultRowHeight="15"/>
  <cols>
    <col min="1" max="1" width="8.33203125" style="1" bestFit="1" customWidth="1"/>
    <col min="2" max="2" width="71.6640625" style="1" customWidth="1"/>
    <col min="3" max="3" width="34.6640625" style="1" customWidth="1"/>
    <col min="4" max="4" width="25.83203125" style="1" customWidth="1"/>
    <col min="5" max="5" width="14.33203125" style="1" bestFit="1" customWidth="1"/>
    <col min="6" max="16384" width="11" style="1"/>
  </cols>
  <sheetData>
    <row r="1" spans="1:5">
      <c r="A1" s="4" t="s">
        <v>79</v>
      </c>
      <c r="B1" s="4" t="s">
        <v>80</v>
      </c>
      <c r="C1" s="4" t="s">
        <v>81</v>
      </c>
      <c r="E1" s="4" t="s">
        <v>82</v>
      </c>
    </row>
    <row r="2" spans="1:5">
      <c r="A2" s="2"/>
      <c r="B2" s="5" t="s">
        <v>83</v>
      </c>
      <c r="C2" s="2"/>
    </row>
    <row r="3" spans="1:5">
      <c r="A3" s="6">
        <v>1</v>
      </c>
      <c r="B3" s="2" t="s">
        <v>84</v>
      </c>
      <c r="C3" s="2" t="s">
        <v>85</v>
      </c>
      <c r="E3" s="1">
        <v>5</v>
      </c>
    </row>
    <row r="4" spans="1:5">
      <c r="A4" s="6">
        <v>2</v>
      </c>
      <c r="B4" s="2" t="s">
        <v>86</v>
      </c>
      <c r="C4" s="2"/>
      <c r="E4" s="1">
        <v>5</v>
      </c>
    </row>
    <row r="5" spans="1:5">
      <c r="A5" s="6">
        <v>3</v>
      </c>
      <c r="B5" s="2" t="s">
        <v>87</v>
      </c>
      <c r="C5" s="33" t="s">
        <v>88</v>
      </c>
      <c r="D5" s="1" t="s">
        <v>89</v>
      </c>
      <c r="E5" s="1">
        <v>10</v>
      </c>
    </row>
    <row r="6" spans="1:5">
      <c r="A6" s="6">
        <v>4</v>
      </c>
      <c r="B6" s="2" t="s">
        <v>90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abSelected="1" topLeftCell="A4" zoomScaleNormal="100" workbookViewId="0">
      <selection activeCell="J11" sqref="J11"/>
    </sheetView>
  </sheetViews>
  <sheetFormatPr defaultColWidth="11" defaultRowHeight="14.1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>
      <c r="A1" s="41" t="s">
        <v>9</v>
      </c>
      <c r="B1" s="40" t="s">
        <v>91</v>
      </c>
    </row>
    <row r="2" spans="1:7" s="40" customFormat="1" ht="21">
      <c r="B2" s="40" t="s">
        <v>92</v>
      </c>
    </row>
    <row r="3" spans="1:7" ht="15">
      <c r="A3" s="1"/>
      <c r="B3" s="1"/>
      <c r="C3" s="1"/>
      <c r="D3" s="1"/>
      <c r="E3" s="1"/>
      <c r="F3" s="1"/>
      <c r="G3" s="1"/>
    </row>
    <row r="4" spans="1:7" ht="24">
      <c r="A4" s="17" t="s">
        <v>93</v>
      </c>
      <c r="B4" s="1"/>
      <c r="C4" s="1"/>
      <c r="D4" s="1"/>
      <c r="E4" s="1"/>
      <c r="F4" s="1"/>
      <c r="G4" s="1"/>
    </row>
    <row r="5" spans="1:7" ht="15">
      <c r="A5" s="19" t="s">
        <v>14</v>
      </c>
      <c r="B5" s="20" t="s">
        <v>20</v>
      </c>
      <c r="C5" s="21" t="s">
        <v>27</v>
      </c>
      <c r="D5" s="20" t="s">
        <v>31</v>
      </c>
      <c r="E5" s="21" t="s">
        <v>33</v>
      </c>
      <c r="F5" s="22" t="s">
        <v>35</v>
      </c>
    </row>
    <row r="6" spans="1:7" ht="15">
      <c r="A6" s="7" t="s">
        <v>38</v>
      </c>
      <c r="B6" s="11" t="s">
        <v>94</v>
      </c>
      <c r="C6" s="11"/>
      <c r="D6" s="11"/>
      <c r="E6" s="11"/>
      <c r="F6" s="8"/>
    </row>
    <row r="7" spans="1:7" ht="15">
      <c r="A7" s="7" t="s">
        <v>41</v>
      </c>
      <c r="B7" s="11">
        <f>Dataset!G3</f>
        <v>2.7</v>
      </c>
      <c r="C7" s="11"/>
      <c r="D7" s="11"/>
      <c r="E7" s="11"/>
      <c r="F7" s="8"/>
    </row>
    <row r="8" spans="1:7" ht="15">
      <c r="A8" s="7" t="s">
        <v>42</v>
      </c>
      <c r="B8" s="11">
        <f>Dataset!G4</f>
        <v>3.6</v>
      </c>
      <c r="C8" s="11"/>
      <c r="D8" s="11"/>
      <c r="E8" s="11"/>
      <c r="F8" s="8"/>
    </row>
    <row r="9" spans="1:7" ht="15">
      <c r="A9" s="7" t="s">
        <v>43</v>
      </c>
      <c r="B9" s="11">
        <f>Dataset!G5</f>
        <v>4.9000000000000004</v>
      </c>
      <c r="C9" s="11"/>
      <c r="D9" s="11"/>
      <c r="E9" s="11"/>
      <c r="F9" s="8"/>
    </row>
    <row r="10" spans="1:7" ht="15">
      <c r="A10" s="7" t="s">
        <v>46</v>
      </c>
      <c r="B10" s="11">
        <f>Dataset!G6</f>
        <v>6.6</v>
      </c>
      <c r="C10" s="11"/>
      <c r="D10" s="11"/>
      <c r="E10" s="11"/>
      <c r="F10" s="8"/>
    </row>
    <row r="11" spans="1:7" ht="15">
      <c r="A11" s="7" t="s">
        <v>47</v>
      </c>
      <c r="B11" s="11">
        <f>Dataset!G7</f>
        <v>7.1</v>
      </c>
      <c r="C11" s="11"/>
      <c r="D11" s="11"/>
      <c r="E11" s="11"/>
      <c r="F11" s="8"/>
    </row>
    <row r="12" spans="1:7" ht="15">
      <c r="A12" s="7" t="s">
        <v>49</v>
      </c>
      <c r="B12" s="11">
        <f>Dataset!G8</f>
        <v>9.4</v>
      </c>
      <c r="C12" s="11"/>
      <c r="D12" s="11"/>
      <c r="E12" s="11"/>
      <c r="F12" s="8"/>
    </row>
    <row r="13" spans="1:7" ht="15">
      <c r="A13" s="7" t="s">
        <v>50</v>
      </c>
      <c r="B13" s="11">
        <f>Dataset!G9</f>
        <v>11.6</v>
      </c>
      <c r="C13" s="11"/>
      <c r="D13" s="11"/>
      <c r="E13" s="11"/>
      <c r="F13" s="8"/>
    </row>
    <row r="14" spans="1:7" ht="15">
      <c r="A14" s="7" t="s">
        <v>51</v>
      </c>
      <c r="B14" s="11">
        <f>Dataset!G10</f>
        <v>16.100000000000001</v>
      </c>
      <c r="C14" s="11"/>
      <c r="D14" s="11"/>
      <c r="E14" s="11"/>
      <c r="F14" s="8"/>
    </row>
    <row r="15" spans="1:7" ht="15">
      <c r="A15" s="7" t="s">
        <v>53</v>
      </c>
      <c r="B15" s="11">
        <f>Dataset!G11</f>
        <v>18.399999999999999</v>
      </c>
      <c r="C15" s="11"/>
      <c r="D15" s="11"/>
      <c r="E15" s="11"/>
      <c r="F15" s="8"/>
    </row>
    <row r="16" spans="1:7" ht="15">
      <c r="A16" s="7" t="s">
        <v>55</v>
      </c>
      <c r="B16" s="11">
        <f>Dataset!G12</f>
        <v>0</v>
      </c>
      <c r="C16" s="11"/>
      <c r="D16" s="11"/>
      <c r="E16" s="11"/>
      <c r="F16" s="8"/>
    </row>
    <row r="17" spans="1:6" ht="15">
      <c r="A17" s="7" t="s">
        <v>57</v>
      </c>
      <c r="B17" s="11">
        <f>Dataset!G13</f>
        <v>21.9</v>
      </c>
      <c r="C17" s="11"/>
      <c r="D17" s="11"/>
      <c r="E17" s="11"/>
      <c r="F17" s="8"/>
    </row>
    <row r="18" spans="1:6" ht="15">
      <c r="A18" s="7" t="s">
        <v>58</v>
      </c>
      <c r="B18" s="11">
        <f>Dataset!G14</f>
        <v>23.5</v>
      </c>
      <c r="C18" s="11"/>
      <c r="D18" s="11"/>
      <c r="E18" s="11"/>
      <c r="F18" s="8"/>
    </row>
    <row r="19" spans="1:6" ht="15">
      <c r="A19" s="7" t="s">
        <v>59</v>
      </c>
      <c r="B19" s="11">
        <f>Dataset!G15</f>
        <v>26.8</v>
      </c>
      <c r="C19" s="11"/>
      <c r="D19" s="11"/>
      <c r="E19" s="11"/>
      <c r="F19" s="8"/>
    </row>
    <row r="20" spans="1:6" ht="15">
      <c r="A20" s="7" t="s">
        <v>64</v>
      </c>
      <c r="B20" s="11">
        <f>Dataset!G16</f>
        <v>28</v>
      </c>
      <c r="C20" s="11"/>
      <c r="D20" s="11"/>
      <c r="E20" s="11"/>
      <c r="F20" s="8"/>
    </row>
    <row r="21" spans="1:6" ht="15">
      <c r="A21" s="7" t="s">
        <v>65</v>
      </c>
      <c r="B21" s="11">
        <f>Dataset!G17</f>
        <v>28.5</v>
      </c>
      <c r="C21" s="11"/>
      <c r="D21" s="11"/>
      <c r="E21" s="11"/>
      <c r="F21" s="8"/>
    </row>
    <row r="22" spans="1:6" ht="15">
      <c r="A22" s="7" t="s">
        <v>68</v>
      </c>
      <c r="B22" s="11">
        <f>Dataset!G18</f>
        <v>29.1</v>
      </c>
      <c r="C22" s="11"/>
      <c r="D22" s="11"/>
      <c r="E22" s="11"/>
      <c r="F22" s="8"/>
    </row>
    <row r="23" spans="1:6" ht="15">
      <c r="A23" s="7" t="s">
        <v>69</v>
      </c>
      <c r="B23" s="11">
        <f>Dataset!G19</f>
        <v>30.7</v>
      </c>
      <c r="C23" s="11"/>
      <c r="D23" s="11"/>
      <c r="E23" s="11"/>
      <c r="F23" s="8"/>
    </row>
    <row r="24" spans="1:6" ht="15">
      <c r="A24" s="7" t="s">
        <v>70</v>
      </c>
      <c r="B24" s="11">
        <f>Dataset!G20</f>
        <v>33.799999999999997</v>
      </c>
      <c r="C24" s="11"/>
      <c r="D24" s="11"/>
      <c r="E24" s="11"/>
      <c r="F24" s="8"/>
    </row>
    <row r="25" spans="1:6" ht="15">
      <c r="A25" s="7" t="s">
        <v>72</v>
      </c>
      <c r="B25" s="11">
        <f>Dataset!G21</f>
        <v>34.700000000000003</v>
      </c>
      <c r="C25" s="11"/>
      <c r="D25" s="11"/>
      <c r="E25" s="11"/>
      <c r="F25" s="8"/>
    </row>
    <row r="26" spans="1:6" ht="15">
      <c r="A26" s="7" t="s">
        <v>76</v>
      </c>
      <c r="B26" s="11">
        <f>Dataset!G22</f>
        <v>36.5</v>
      </c>
      <c r="C26" s="11"/>
      <c r="D26" s="11"/>
      <c r="E26" s="11"/>
      <c r="F26" s="8"/>
    </row>
    <row r="27" spans="1:6" ht="15">
      <c r="A27" s="7" t="s">
        <v>78</v>
      </c>
      <c r="B27" s="11">
        <f>Dataset!G23</f>
        <v>38</v>
      </c>
      <c r="C27" s="11"/>
      <c r="D27" s="11"/>
      <c r="E27" s="11"/>
      <c r="F27" s="8"/>
    </row>
    <row r="28" spans="1:6" ht="15">
      <c r="A28" s="18" t="s">
        <v>95</v>
      </c>
      <c r="B28" s="30"/>
      <c r="C28" s="30"/>
      <c r="D28" s="30"/>
      <c r="E28" s="30"/>
      <c r="F28" s="30"/>
    </row>
    <row r="29" spans="1:6" ht="15">
      <c r="A29" s="18" t="s">
        <v>96</v>
      </c>
      <c r="B29" s="30"/>
      <c r="C29" s="30"/>
      <c r="D29" s="30"/>
      <c r="E29" s="30"/>
      <c r="F29" s="30"/>
    </row>
    <row r="30" spans="1:6" ht="15">
      <c r="A30" s="18" t="s">
        <v>97</v>
      </c>
      <c r="B30" s="30"/>
      <c r="C30" s="30"/>
      <c r="D30" s="30"/>
      <c r="E30" s="30"/>
      <c r="F30" s="3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5" zoomScaleNormal="100" workbookViewId="0">
      <selection activeCell="F16" sqref="F16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40" customFormat="1" ht="21">
      <c r="A1" s="41" t="s">
        <v>10</v>
      </c>
      <c r="B1" s="40" t="s">
        <v>98</v>
      </c>
    </row>
    <row r="2" spans="1:10" customFormat="1" ht="12.95"/>
    <row r="3" spans="1:10" s="2" customFormat="1">
      <c r="B3" s="1"/>
    </row>
    <row r="4" spans="1:10" s="2" customFormat="1">
      <c r="B4" s="1" t="s">
        <v>99</v>
      </c>
    </row>
    <row r="5" spans="1:10" ht="18.95">
      <c r="A5" s="42" t="s">
        <v>100</v>
      </c>
      <c r="B5" s="39"/>
    </row>
    <row r="6" spans="1:10" ht="18.95">
      <c r="A6" s="42" t="s">
        <v>101</v>
      </c>
      <c r="B6" s="39"/>
    </row>
    <row r="7" spans="1:10" ht="18.95">
      <c r="A7" s="42"/>
      <c r="B7" s="39"/>
    </row>
    <row r="9" spans="1:10" ht="24">
      <c r="A9" s="17" t="s">
        <v>102</v>
      </c>
      <c r="I9" s="2"/>
      <c r="J9" s="2"/>
    </row>
    <row r="10" spans="1:10">
      <c r="A10" s="32" t="s">
        <v>103</v>
      </c>
      <c r="B10" s="16" t="s">
        <v>104</v>
      </c>
      <c r="C10" s="16" t="s">
        <v>105</v>
      </c>
      <c r="D10" s="16" t="s">
        <v>106</v>
      </c>
      <c r="E10" s="16" t="s">
        <v>107</v>
      </c>
      <c r="F10" s="16" t="s">
        <v>108</v>
      </c>
      <c r="I10" s="2"/>
      <c r="J10" s="2"/>
    </row>
    <row r="11" spans="1:10">
      <c r="A11" s="9" t="s">
        <v>109</v>
      </c>
      <c r="B11" s="12">
        <v>20000</v>
      </c>
      <c r="C11" s="12" t="s">
        <v>39</v>
      </c>
      <c r="D11" s="12">
        <v>0</v>
      </c>
      <c r="E11" s="10" t="s">
        <v>40</v>
      </c>
      <c r="F11" s="10">
        <v>24</v>
      </c>
      <c r="I11" s="2"/>
      <c r="J11" s="2"/>
    </row>
    <row r="14" spans="1:10" ht="24">
      <c r="A14" s="17" t="s">
        <v>93</v>
      </c>
    </row>
    <row r="15" spans="1:10">
      <c r="A15" s="13" t="s">
        <v>110</v>
      </c>
      <c r="B15" s="16" t="s">
        <v>104</v>
      </c>
      <c r="C15" s="14" t="s">
        <v>105</v>
      </c>
      <c r="D15" s="16" t="s">
        <v>106</v>
      </c>
      <c r="E15" s="14" t="s">
        <v>107</v>
      </c>
      <c r="F15" s="16" t="s">
        <v>108</v>
      </c>
    </row>
    <row r="16" spans="1:10">
      <c r="A16" s="7" t="s">
        <v>109</v>
      </c>
      <c r="B16" s="11" t="str">
        <f>LEFT(A16,5)</f>
        <v>20000</v>
      </c>
      <c r="C16" s="1" t="str">
        <f>MID(A16,7,6)</f>
        <v>Monday</v>
      </c>
      <c r="D16" s="11" t="str">
        <f>MID(A16,14,1)</f>
        <v>0</v>
      </c>
      <c r="E16" s="11" t="str">
        <f>MID(A16,16,6)</f>
        <v>Sunday</v>
      </c>
      <c r="F16" s="11" t="str">
        <f>MID(A16,23,2)</f>
        <v>24</v>
      </c>
    </row>
    <row r="17" spans="1:6">
      <c r="A17" s="7" t="s">
        <v>111</v>
      </c>
      <c r="B17" s="11" t="str">
        <f t="shared" ref="B17:B54" si="0">LEFT(A17,5)</f>
        <v>20002</v>
      </c>
      <c r="C17" s="1" t="str">
        <f t="shared" ref="C17:C54" si="1">MID(A17,7,6)</f>
        <v>Monday</v>
      </c>
      <c r="D17" s="11" t="str">
        <f t="shared" ref="D17:D54" si="2">MID(A17,14,1)</f>
        <v>0</v>
      </c>
      <c r="E17" s="11" t="str">
        <f t="shared" ref="E17:E54" si="3">MID(A17,16,6)</f>
        <v>Sunday</v>
      </c>
      <c r="F17" s="11" t="str">
        <f t="shared" ref="F17:F54" si="4">MID(A17,23,2)</f>
        <v>24</v>
      </c>
    </row>
    <row r="18" spans="1:6">
      <c r="A18" s="7" t="s">
        <v>112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1" t="str">
        <f t="shared" si="3"/>
        <v>Sunday</v>
      </c>
      <c r="F18" s="11" t="str">
        <f t="shared" si="4"/>
        <v>24</v>
      </c>
    </row>
    <row r="19" spans="1:6">
      <c r="A19" s="7" t="s">
        <v>113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1" t="str">
        <f t="shared" si="3"/>
        <v>Sunday</v>
      </c>
      <c r="F19" s="11" t="str">
        <f t="shared" si="4"/>
        <v>24</v>
      </c>
    </row>
    <row r="20" spans="1:6">
      <c r="A20" s="7" t="s">
        <v>114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1" t="str">
        <f t="shared" si="3"/>
        <v>Sunday</v>
      </c>
      <c r="F20" s="11" t="str">
        <f t="shared" si="4"/>
        <v>24</v>
      </c>
    </row>
    <row r="21" spans="1:6">
      <c r="A21" s="7" t="s">
        <v>115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1" t="str">
        <f t="shared" si="3"/>
        <v>Sunday</v>
      </c>
      <c r="F21" s="11" t="str">
        <f t="shared" si="4"/>
        <v>24</v>
      </c>
    </row>
    <row r="22" spans="1:6">
      <c r="A22" s="7" t="s">
        <v>116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1" t="str">
        <f t="shared" si="3"/>
        <v>Sunday</v>
      </c>
      <c r="F22" s="11" t="str">
        <f t="shared" si="4"/>
        <v>24</v>
      </c>
    </row>
    <row r="23" spans="1:6">
      <c r="A23" s="7" t="s">
        <v>117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1" t="str">
        <f t="shared" si="3"/>
        <v>Sunday</v>
      </c>
      <c r="F23" s="11" t="str">
        <f t="shared" si="4"/>
        <v>24</v>
      </c>
    </row>
    <row r="24" spans="1:6">
      <c r="A24" s="7" t="s">
        <v>118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1" t="str">
        <f t="shared" si="3"/>
        <v>Sunday</v>
      </c>
      <c r="F24" s="11" t="str">
        <f t="shared" si="4"/>
        <v>24</v>
      </c>
    </row>
    <row r="25" spans="1:6">
      <c r="A25" s="7" t="s">
        <v>119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1" t="str">
        <f t="shared" si="3"/>
        <v>Sunday</v>
      </c>
      <c r="F25" s="11" t="str">
        <f t="shared" si="4"/>
        <v>24</v>
      </c>
    </row>
    <row r="26" spans="1:6">
      <c r="A26" s="7" t="s">
        <v>120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1" t="str">
        <f t="shared" si="3"/>
        <v>Sunday</v>
      </c>
      <c r="F26" s="11" t="str">
        <f t="shared" si="4"/>
        <v>24</v>
      </c>
    </row>
    <row r="27" spans="1:6">
      <c r="A27" s="7" t="s">
        <v>121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1" t="str">
        <f t="shared" si="3"/>
        <v>Sunday</v>
      </c>
      <c r="F27" s="11" t="str">
        <f t="shared" si="4"/>
        <v>24</v>
      </c>
    </row>
    <row r="28" spans="1:6">
      <c r="A28" s="7" t="s">
        <v>122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1" t="str">
        <f t="shared" si="3"/>
        <v>Sunday</v>
      </c>
      <c r="F28" s="11" t="str">
        <f t="shared" si="4"/>
        <v>24</v>
      </c>
    </row>
    <row r="29" spans="1:6">
      <c r="A29" s="7" t="s">
        <v>123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1" t="str">
        <f t="shared" si="3"/>
        <v>Sunday</v>
      </c>
      <c r="F29" s="11" t="str">
        <f t="shared" si="4"/>
        <v>24</v>
      </c>
    </row>
    <row r="30" spans="1:6">
      <c r="A30" s="7" t="s">
        <v>124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1" t="str">
        <f t="shared" si="3"/>
        <v>Sunday</v>
      </c>
      <c r="F30" s="11" t="str">
        <f t="shared" si="4"/>
        <v>24</v>
      </c>
    </row>
    <row r="31" spans="1:6">
      <c r="A31" s="7" t="s">
        <v>125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1" t="str">
        <f t="shared" si="3"/>
        <v>Sunday</v>
      </c>
      <c r="F31" s="11" t="str">
        <f t="shared" si="4"/>
        <v>24</v>
      </c>
    </row>
    <row r="32" spans="1:6">
      <c r="A32" s="7" t="s">
        <v>126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1" t="str">
        <f t="shared" si="3"/>
        <v>Sunday</v>
      </c>
      <c r="F32" s="11" t="str">
        <f t="shared" si="4"/>
        <v>24</v>
      </c>
    </row>
    <row r="33" spans="1:6">
      <c r="A33" s="7" t="s">
        <v>127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1" t="str">
        <f t="shared" si="3"/>
        <v>Sunday</v>
      </c>
      <c r="F33" s="11" t="str">
        <f t="shared" si="4"/>
        <v>24</v>
      </c>
    </row>
    <row r="34" spans="1:6">
      <c r="A34" s="7" t="s">
        <v>128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1" t="str">
        <f t="shared" si="3"/>
        <v>Sunday</v>
      </c>
      <c r="F34" s="11" t="str">
        <f t="shared" si="4"/>
        <v>24</v>
      </c>
    </row>
    <row r="35" spans="1:6">
      <c r="A35" s="7" t="s">
        <v>129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1" t="str">
        <f t="shared" si="3"/>
        <v>Sunday</v>
      </c>
      <c r="F35" s="11" t="str">
        <f t="shared" si="4"/>
        <v>24</v>
      </c>
    </row>
    <row r="36" spans="1:6">
      <c r="A36" s="7" t="s">
        <v>130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1" t="str">
        <f t="shared" si="3"/>
        <v>Sunday</v>
      </c>
      <c r="F36" s="11" t="str">
        <f t="shared" si="4"/>
        <v>24</v>
      </c>
    </row>
    <row r="37" spans="1:6">
      <c r="A37" s="7" t="s">
        <v>131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1" t="str">
        <f t="shared" si="3"/>
        <v>Sunday</v>
      </c>
      <c r="F37" s="11" t="str">
        <f t="shared" si="4"/>
        <v>24</v>
      </c>
    </row>
    <row r="38" spans="1:6">
      <c r="A38" s="7" t="s">
        <v>132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1" t="str">
        <f t="shared" si="3"/>
        <v>Sunday</v>
      </c>
      <c r="F38" s="11" t="str">
        <f t="shared" si="4"/>
        <v>24</v>
      </c>
    </row>
    <row r="39" spans="1:6">
      <c r="A39" s="7" t="s">
        <v>133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1" t="str">
        <f t="shared" si="3"/>
        <v>Sunday</v>
      </c>
      <c r="F39" s="11" t="str">
        <f t="shared" si="4"/>
        <v>24</v>
      </c>
    </row>
    <row r="40" spans="1:6">
      <c r="A40" s="7" t="s">
        <v>134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1" t="str">
        <f t="shared" si="3"/>
        <v>Sunday</v>
      </c>
      <c r="F40" s="11" t="str">
        <f t="shared" si="4"/>
        <v>24</v>
      </c>
    </row>
    <row r="41" spans="1:6">
      <c r="A41" s="7" t="s">
        <v>135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1" t="str">
        <f t="shared" si="3"/>
        <v>Sunday</v>
      </c>
      <c r="F41" s="11" t="str">
        <f t="shared" si="4"/>
        <v>24</v>
      </c>
    </row>
    <row r="42" spans="1:6">
      <c r="A42" s="7" t="s">
        <v>136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1" t="str">
        <f t="shared" si="3"/>
        <v>Sunday</v>
      </c>
      <c r="F42" s="11" t="str">
        <f t="shared" si="4"/>
        <v>24</v>
      </c>
    </row>
    <row r="43" spans="1:6">
      <c r="A43" s="7" t="s">
        <v>137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1" t="str">
        <f t="shared" si="3"/>
        <v>Sunday</v>
      </c>
      <c r="F43" s="11" t="str">
        <f t="shared" si="4"/>
        <v>24</v>
      </c>
    </row>
    <row r="44" spans="1:6">
      <c r="A44" s="7" t="s">
        <v>138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1" t="str">
        <f t="shared" si="3"/>
        <v>Sunday</v>
      </c>
      <c r="F44" s="11" t="str">
        <f t="shared" si="4"/>
        <v>24</v>
      </c>
    </row>
    <row r="45" spans="1:6">
      <c r="A45" s="7" t="s">
        <v>139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1" t="str">
        <f t="shared" si="3"/>
        <v>Sunday</v>
      </c>
      <c r="F45" s="11" t="str">
        <f t="shared" si="4"/>
        <v>24</v>
      </c>
    </row>
    <row r="46" spans="1:6">
      <c r="A46" s="7" t="s">
        <v>140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1" t="str">
        <f t="shared" si="3"/>
        <v>Sunday</v>
      </c>
      <c r="F46" s="11" t="str">
        <f t="shared" si="4"/>
        <v>24</v>
      </c>
    </row>
    <row r="47" spans="1:6">
      <c r="A47" s="7" t="s">
        <v>141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1" t="str">
        <f t="shared" si="3"/>
        <v>Sunday</v>
      </c>
      <c r="F47" s="11" t="str">
        <f t="shared" si="4"/>
        <v>24</v>
      </c>
    </row>
    <row r="48" spans="1:6">
      <c r="A48" s="7" t="s">
        <v>142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1" t="str">
        <f t="shared" si="3"/>
        <v>Sunday</v>
      </c>
      <c r="F48" s="11" t="str">
        <f t="shared" si="4"/>
        <v>24</v>
      </c>
    </row>
    <row r="49" spans="1:6">
      <c r="A49" s="7" t="s">
        <v>143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1" t="str">
        <f t="shared" si="3"/>
        <v>Sunday</v>
      </c>
      <c r="F49" s="11" t="str">
        <f t="shared" si="4"/>
        <v>24</v>
      </c>
    </row>
    <row r="50" spans="1:6">
      <c r="A50" s="7" t="s">
        <v>144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1" t="str">
        <f t="shared" si="3"/>
        <v>Sunday</v>
      </c>
      <c r="F50" s="11" t="str">
        <f t="shared" si="4"/>
        <v>24</v>
      </c>
    </row>
    <row r="51" spans="1:6">
      <c r="A51" s="7" t="s">
        <v>145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1" t="str">
        <f t="shared" si="3"/>
        <v>Sunday</v>
      </c>
      <c r="F51" s="11" t="str">
        <f t="shared" si="4"/>
        <v>24</v>
      </c>
    </row>
    <row r="52" spans="1:6">
      <c r="A52" s="7" t="s">
        <v>146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1" t="str">
        <f t="shared" si="3"/>
        <v>Sunday</v>
      </c>
      <c r="F52" s="11" t="str">
        <f t="shared" si="4"/>
        <v>24</v>
      </c>
    </row>
    <row r="53" spans="1:6">
      <c r="A53" s="7" t="s">
        <v>147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1" t="str">
        <f t="shared" si="3"/>
        <v>Sunday</v>
      </c>
      <c r="F53" s="11" t="str">
        <f t="shared" si="4"/>
        <v>24</v>
      </c>
    </row>
    <row r="54" spans="1:6">
      <c r="A54" s="9" t="s">
        <v>148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opLeftCell="A5" zoomScaleNormal="100" workbookViewId="0">
      <selection activeCell="C23" sqref="C23"/>
    </sheetView>
  </sheetViews>
  <sheetFormatPr defaultColWidth="11" defaultRowHeight="14.1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>
      <c r="A1" s="41" t="s">
        <v>11</v>
      </c>
      <c r="B1" s="40" t="s">
        <v>149</v>
      </c>
    </row>
    <row r="2" spans="1:4" ht="18.95">
      <c r="B2" s="39" t="s">
        <v>150</v>
      </c>
    </row>
    <row r="5" spans="1:4" ht="15">
      <c r="B5" s="1" t="s">
        <v>99</v>
      </c>
    </row>
    <row r="6" spans="1:4" ht="15">
      <c r="A6" s="3" t="s">
        <v>100</v>
      </c>
      <c r="B6" s="45" t="s">
        <v>151</v>
      </c>
    </row>
    <row r="7" spans="1:4" ht="15">
      <c r="A7" s="3" t="s">
        <v>101</v>
      </c>
      <c r="B7" s="1"/>
    </row>
    <row r="10" spans="1:4" ht="24">
      <c r="A10" s="17" t="s">
        <v>93</v>
      </c>
    </row>
    <row r="11" spans="1:4" ht="15">
      <c r="A11" s="31" t="s">
        <v>152</v>
      </c>
      <c r="B11" s="16" t="s">
        <v>153</v>
      </c>
      <c r="C11" s="16" t="s">
        <v>154</v>
      </c>
    </row>
    <row r="12" spans="1:4" ht="15">
      <c r="A12" s="31">
        <v>44927</v>
      </c>
      <c r="B12" s="16" t="s">
        <v>155</v>
      </c>
      <c r="C12" s="16">
        <v>200</v>
      </c>
      <c r="D12" s="2">
        <f>_xlfn.IFNA(C12,20)</f>
        <v>200</v>
      </c>
    </row>
    <row r="13" spans="1:4" ht="15">
      <c r="A13" s="31">
        <v>44928</v>
      </c>
      <c r="B13" s="16" t="s">
        <v>156</v>
      </c>
      <c r="C13" s="16" t="e">
        <v>#N/A</v>
      </c>
      <c r="D13" s="2">
        <f t="shared" ref="D13:D21" si="0">_xlfn.IFNA(C13,20)</f>
        <v>20</v>
      </c>
    </row>
    <row r="14" spans="1:4" ht="15">
      <c r="A14" s="31">
        <v>44929</v>
      </c>
      <c r="B14" s="16" t="s">
        <v>157</v>
      </c>
      <c r="C14" s="16">
        <v>50</v>
      </c>
      <c r="D14" s="2">
        <f t="shared" si="0"/>
        <v>50</v>
      </c>
    </row>
    <row r="15" spans="1:4" ht="15">
      <c r="A15" s="31">
        <v>44930</v>
      </c>
      <c r="B15" s="16" t="s">
        <v>158</v>
      </c>
      <c r="C15" s="16" t="e">
        <v>#N/A</v>
      </c>
      <c r="D15" s="2">
        <f t="shared" si="0"/>
        <v>20</v>
      </c>
    </row>
    <row r="16" spans="1:4" ht="15">
      <c r="A16" s="31">
        <v>44931</v>
      </c>
      <c r="B16" s="16" t="s">
        <v>159</v>
      </c>
      <c r="C16" s="16">
        <v>10</v>
      </c>
      <c r="D16" s="2">
        <f t="shared" si="0"/>
        <v>10</v>
      </c>
    </row>
    <row r="17" spans="1:4" ht="15">
      <c r="A17" s="31">
        <v>44932</v>
      </c>
      <c r="B17" s="16" t="s">
        <v>160</v>
      </c>
      <c r="C17" s="16">
        <v>150</v>
      </c>
      <c r="D17" s="2">
        <f t="shared" si="0"/>
        <v>150</v>
      </c>
    </row>
    <row r="18" spans="1:4" ht="15">
      <c r="A18" s="31">
        <v>44933</v>
      </c>
      <c r="B18" s="16" t="s">
        <v>161</v>
      </c>
      <c r="C18" s="16">
        <v>80</v>
      </c>
      <c r="D18" s="2">
        <f t="shared" si="0"/>
        <v>80</v>
      </c>
    </row>
    <row r="19" spans="1:4" ht="15">
      <c r="A19" s="31">
        <v>44934</v>
      </c>
      <c r="B19" s="16" t="s">
        <v>162</v>
      </c>
      <c r="C19" s="16" t="e">
        <v>#N/A</v>
      </c>
      <c r="D19" s="2">
        <f t="shared" si="0"/>
        <v>20</v>
      </c>
    </row>
    <row r="20" spans="1:4" ht="15">
      <c r="A20" s="31">
        <v>44935</v>
      </c>
      <c r="B20" s="16" t="s">
        <v>163</v>
      </c>
      <c r="C20" s="16">
        <v>30</v>
      </c>
      <c r="D20" s="2">
        <f t="shared" si="0"/>
        <v>30</v>
      </c>
    </row>
    <row r="21" spans="1:4" ht="15">
      <c r="A21" s="31">
        <v>44936</v>
      </c>
      <c r="B21" s="16" t="s">
        <v>164</v>
      </c>
      <c r="C21" s="16" t="e">
        <v>#N/A</v>
      </c>
      <c r="D21" s="2">
        <f t="shared" si="0"/>
        <v>20</v>
      </c>
    </row>
    <row r="22" spans="1:4" ht="15">
      <c r="B22" s="16" t="s">
        <v>165</v>
      </c>
      <c r="C22" s="24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9" zoomScaleNormal="100" workbookViewId="0">
      <selection activeCell="C23" sqref="C23"/>
    </sheetView>
  </sheetViews>
  <sheetFormatPr defaultColWidth="11" defaultRowHeight="14.1"/>
  <cols>
    <col min="1" max="1" width="28.1640625" style="2" bestFit="1" customWidth="1"/>
    <col min="2" max="16384" width="11" style="2"/>
  </cols>
  <sheetData>
    <row r="1" spans="1:14" ht="21">
      <c r="A1" s="41" t="s">
        <v>12</v>
      </c>
      <c r="B1" s="40" t="s">
        <v>166</v>
      </c>
    </row>
    <row r="3" spans="1:14" ht="15">
      <c r="B3" s="1" t="s">
        <v>99</v>
      </c>
    </row>
    <row r="4" spans="1:14" ht="18.95">
      <c r="A4" s="42" t="s">
        <v>100</v>
      </c>
      <c r="B4" s="1"/>
    </row>
    <row r="5" spans="1:14" ht="18.95">
      <c r="A5" s="42" t="s">
        <v>101</v>
      </c>
      <c r="B5" s="1"/>
    </row>
    <row r="6" spans="1:14" ht="15">
      <c r="A6" s="3"/>
      <c r="B6" s="1"/>
    </row>
    <row r="8" spans="1:14" ht="24">
      <c r="A8" s="17" t="s">
        <v>93</v>
      </c>
      <c r="M8" s="17" t="s">
        <v>167</v>
      </c>
    </row>
    <row r="9" spans="1:14" ht="15">
      <c r="A9" s="25"/>
      <c r="B9" s="25" t="s">
        <v>168</v>
      </c>
      <c r="C9" s="25" t="s">
        <v>169</v>
      </c>
      <c r="D9" s="25" t="s">
        <v>170</v>
      </c>
      <c r="E9" s="25" t="s">
        <v>171</v>
      </c>
      <c r="F9" s="25" t="s">
        <v>172</v>
      </c>
      <c r="G9" s="25" t="s">
        <v>173</v>
      </c>
      <c r="H9" s="25" t="s">
        <v>174</v>
      </c>
      <c r="I9" s="25" t="s">
        <v>175</v>
      </c>
      <c r="J9" s="25" t="s">
        <v>176</v>
      </c>
      <c r="M9" s="18" t="s">
        <v>15</v>
      </c>
      <c r="N9" s="18" t="s">
        <v>177</v>
      </c>
    </row>
    <row r="10" spans="1:14" ht="15">
      <c r="A10" s="25" t="s">
        <v>168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168</v>
      </c>
    </row>
    <row r="11" spans="1:14" ht="15">
      <c r="A11" s="25" t="s">
        <v>169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169</v>
      </c>
    </row>
    <row r="12" spans="1:14" ht="15">
      <c r="A12" s="25" t="s">
        <v>170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170</v>
      </c>
    </row>
    <row r="13" spans="1:14" ht="15">
      <c r="A13" s="25" t="s">
        <v>171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171</v>
      </c>
    </row>
    <row r="14" spans="1:14" ht="15">
      <c r="A14" s="25" t="s">
        <v>172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172</v>
      </c>
    </row>
    <row r="15" spans="1:14" ht="15">
      <c r="A15" s="25" t="s">
        <v>173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173</v>
      </c>
    </row>
    <row r="16" spans="1:14" ht="15">
      <c r="A16" s="25" t="s">
        <v>174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174</v>
      </c>
    </row>
    <row r="17" spans="1:14" ht="15">
      <c r="A17" s="25" t="s">
        <v>175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175</v>
      </c>
    </row>
    <row r="18" spans="1:14" ht="15">
      <c r="A18" s="25" t="s">
        <v>176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176</v>
      </c>
    </row>
    <row r="21" spans="1:14" ht="24">
      <c r="A21" s="17" t="s">
        <v>178</v>
      </c>
    </row>
    <row r="22" spans="1:14" ht="15">
      <c r="A22" s="13" t="s">
        <v>179</v>
      </c>
      <c r="B22" s="16" t="s">
        <v>180</v>
      </c>
      <c r="C22" s="15" t="s">
        <v>103</v>
      </c>
      <c r="E22" s="2" t="s">
        <v>181</v>
      </c>
      <c r="F22" s="2" t="s">
        <v>182</v>
      </c>
    </row>
    <row r="23" spans="1:14" ht="15">
      <c r="A23" s="7">
        <v>10100</v>
      </c>
      <c r="B23" s="11">
        <v>10102</v>
      </c>
      <c r="C23" s="44">
        <f>INDEX($B$10:$J$18, MATCH(E23, $A$10:$A$18, 0), MATCH(F23, $B$9:$J$9, 0))</f>
        <v>95</v>
      </c>
      <c r="E23" s="2" t="str">
        <f>LOOKUP(A23,M$10:M$18,N$10:N$18)</f>
        <v>A</v>
      </c>
      <c r="F23" s="2" t="str">
        <f>LOOKUP(B23,M$10:M$18,N$10:N$18)</f>
        <v>B</v>
      </c>
    </row>
    <row r="24" spans="1:14" ht="15">
      <c r="A24" s="7">
        <v>10100</v>
      </c>
      <c r="B24" s="11">
        <v>10104</v>
      </c>
      <c r="C24" s="44">
        <f t="shared" ref="C24:C35" si="0">INDEX($B$10:$J$18, MATCH(E24, $A$10:$A$18, 0), MATCH(F24, $B$9:$J$9, 0))</f>
        <v>-1</v>
      </c>
      <c r="E24" s="2" t="str">
        <f t="shared" ref="E24:E35" si="1">LOOKUP(A24,M$10:M$18,N$10:N$18)</f>
        <v>A</v>
      </c>
      <c r="F24" s="2" t="str">
        <f t="shared" ref="F24:F35" si="2">LOOKUP(B24,M$10:M$18,N$10:N$18)</f>
        <v>C</v>
      </c>
    </row>
    <row r="25" spans="1:14" ht="15">
      <c r="A25" s="7">
        <v>10108</v>
      </c>
      <c r="B25" s="11">
        <v>10102</v>
      </c>
      <c r="C25" s="44">
        <f t="shared" si="0"/>
        <v>160</v>
      </c>
      <c r="E25" s="2" t="str">
        <f t="shared" si="1"/>
        <v>E</v>
      </c>
      <c r="F25" s="2" t="str">
        <f t="shared" si="2"/>
        <v>B</v>
      </c>
    </row>
    <row r="26" spans="1:14" ht="15">
      <c r="A26" s="7">
        <v>10100</v>
      </c>
      <c r="B26" s="11">
        <v>10106</v>
      </c>
      <c r="C26" s="44">
        <f t="shared" si="0"/>
        <v>185</v>
      </c>
      <c r="E26" s="2" t="str">
        <f t="shared" si="1"/>
        <v>A</v>
      </c>
      <c r="F26" s="2" t="str">
        <f t="shared" si="2"/>
        <v>D</v>
      </c>
    </row>
    <row r="27" spans="1:14" ht="15">
      <c r="A27" s="7">
        <v>10108</v>
      </c>
      <c r="B27" s="11">
        <v>10110</v>
      </c>
      <c r="C27" s="44">
        <f t="shared" si="0"/>
        <v>50</v>
      </c>
      <c r="E27" s="2" t="str">
        <f t="shared" si="1"/>
        <v>E</v>
      </c>
      <c r="F27" s="2" t="str">
        <f t="shared" si="2"/>
        <v>F</v>
      </c>
    </row>
    <row r="28" spans="1:14" ht="15">
      <c r="A28" s="7">
        <v>10102</v>
      </c>
      <c r="B28" s="11">
        <v>10104</v>
      </c>
      <c r="C28" s="44">
        <f t="shared" si="0"/>
        <v>-1</v>
      </c>
      <c r="E28" s="2" t="str">
        <f t="shared" si="1"/>
        <v>B</v>
      </c>
      <c r="F28" s="2" t="str">
        <f t="shared" si="2"/>
        <v>C</v>
      </c>
    </row>
    <row r="29" spans="1:14" ht="15">
      <c r="A29" s="7">
        <v>10106</v>
      </c>
      <c r="B29" s="11">
        <v>10108</v>
      </c>
      <c r="C29" s="44">
        <f t="shared" si="0"/>
        <v>70</v>
      </c>
      <c r="E29" s="2" t="str">
        <f t="shared" si="1"/>
        <v>D</v>
      </c>
      <c r="F29" s="2" t="str">
        <f t="shared" si="2"/>
        <v>E</v>
      </c>
    </row>
    <row r="30" spans="1:14" ht="15">
      <c r="A30" s="7">
        <v>10102</v>
      </c>
      <c r="B30" s="11">
        <v>10106</v>
      </c>
      <c r="C30" s="44">
        <f t="shared" si="0"/>
        <v>90</v>
      </c>
      <c r="E30" s="2" t="str">
        <f t="shared" si="1"/>
        <v>B</v>
      </c>
      <c r="F30" s="2" t="str">
        <f t="shared" si="2"/>
        <v>D</v>
      </c>
    </row>
    <row r="31" spans="1:14" ht="15">
      <c r="A31" s="7">
        <v>10110</v>
      </c>
      <c r="B31" s="11">
        <v>10114</v>
      </c>
      <c r="C31" s="44">
        <f t="shared" si="0"/>
        <v>180</v>
      </c>
      <c r="E31" s="2" t="str">
        <f t="shared" si="1"/>
        <v>F</v>
      </c>
      <c r="F31" s="2" t="str">
        <f t="shared" si="2"/>
        <v>H</v>
      </c>
    </row>
    <row r="32" spans="1:14" ht="15">
      <c r="A32" s="7">
        <v>10104</v>
      </c>
      <c r="B32" s="11">
        <v>10106</v>
      </c>
      <c r="C32" s="44">
        <f t="shared" si="0"/>
        <v>60</v>
      </c>
      <c r="E32" s="2" t="str">
        <f t="shared" si="1"/>
        <v>C</v>
      </c>
      <c r="F32" s="2" t="str">
        <f t="shared" si="2"/>
        <v>D</v>
      </c>
    </row>
    <row r="33" spans="1:6" ht="15">
      <c r="A33" s="7">
        <v>10110</v>
      </c>
      <c r="B33" s="11">
        <v>10112</v>
      </c>
      <c r="C33" s="44">
        <f t="shared" si="0"/>
        <v>115</v>
      </c>
      <c r="E33" s="2" t="str">
        <f t="shared" si="1"/>
        <v>F</v>
      </c>
      <c r="F33" s="2" t="str">
        <f t="shared" si="2"/>
        <v>G</v>
      </c>
    </row>
    <row r="34" spans="1:6" ht="15">
      <c r="A34" s="7">
        <v>10100</v>
      </c>
      <c r="B34" s="11">
        <v>10114</v>
      </c>
      <c r="C34" s="44">
        <f t="shared" si="0"/>
        <v>480</v>
      </c>
      <c r="E34" s="2" t="str">
        <f t="shared" si="1"/>
        <v>A</v>
      </c>
      <c r="F34" s="2" t="str">
        <f t="shared" si="2"/>
        <v>H</v>
      </c>
    </row>
    <row r="35" spans="1:6" ht="15">
      <c r="A35" s="9">
        <v>10112</v>
      </c>
      <c r="B35" s="12">
        <v>10116</v>
      </c>
      <c r="C35" s="44">
        <f t="shared" si="0"/>
        <v>105</v>
      </c>
      <c r="E35" s="2" t="str">
        <f t="shared" si="1"/>
        <v>G</v>
      </c>
      <c r="F35" s="2" t="str">
        <f t="shared" si="2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>Sugandh Saurabh Srivastava</cp:lastModifiedBy>
  <cp:revision/>
  <dcterms:created xsi:type="dcterms:W3CDTF">2015-02-10T17:33:11Z</dcterms:created>
  <dcterms:modified xsi:type="dcterms:W3CDTF">2023-12-11T18:21:43Z</dcterms:modified>
  <cp:category/>
  <cp:contentStatus/>
</cp:coreProperties>
</file>